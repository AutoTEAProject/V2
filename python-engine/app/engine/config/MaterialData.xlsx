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윤지호\Desktop\호지\대학원\SAF 프로젝트_25하반기\그 외\TEA 자동화 작업_26상반기\autoTEA\autoTEA\input\"/>
    </mc:Choice>
  </mc:AlternateContent>
  <xr:revisionPtr revIDLastSave="0" documentId="13_ncr:1_{10D3710D-6C9B-4FC0-BBA0-4D766657B7DE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FlowName" sheetId="1" r:id="rId1"/>
    <sheet name="Except Unit" sheetId="2" r:id="rId2"/>
    <sheet name="Equipment Cost Parameter" sheetId="5" r:id="rId3"/>
    <sheet name="Utility Parameter" sheetId="6" r:id="rId4"/>
    <sheet name="Reactor Parameter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1" l="1"/>
  <c r="C3" i="1"/>
  <c r="D5" i="11"/>
</calcChain>
</file>

<file path=xl/sharedStrings.xml><?xml version="1.0" encoding="utf-8"?>
<sst xmlns="http://schemas.openxmlformats.org/spreadsheetml/2006/main" count="85" uniqueCount="72">
  <si>
    <t>Input_Flow</t>
  </si>
  <si>
    <t>FlowCost [$/ton]</t>
  </si>
  <si>
    <t>Output_Flow[$/ton]</t>
  </si>
  <si>
    <t>CO2</t>
  </si>
  <si>
    <t>SAF</t>
  </si>
  <si>
    <t>H2</t>
  </si>
  <si>
    <t>Except Utility Cost</t>
  </si>
  <si>
    <t>Except Equipment Cost</t>
  </si>
  <si>
    <t>FURNACE</t>
  </si>
  <si>
    <t>FTREAC1</t>
  </si>
  <si>
    <t>HEATER</t>
  </si>
  <si>
    <t>K1</t>
  </si>
  <si>
    <t>K2</t>
  </si>
  <si>
    <t>K3</t>
  </si>
  <si>
    <t>Diphenyl heater</t>
  </si>
  <si>
    <t>Molten salt heater</t>
  </si>
  <si>
    <t>Hot water heater</t>
  </si>
  <si>
    <t>Steam boiler</t>
  </si>
  <si>
    <t>HeatExchanger</t>
  </si>
  <si>
    <t>Fixed tube</t>
  </si>
  <si>
    <t>Floating head</t>
  </si>
  <si>
    <t>U-tube</t>
  </si>
  <si>
    <t>Bayonet</t>
  </si>
  <si>
    <t>Compressor</t>
  </si>
  <si>
    <t>Centrifugal, axial and reciprocating</t>
  </si>
  <si>
    <t>Rotary</t>
  </si>
  <si>
    <t>utilityCostData</t>
  </si>
  <si>
    <t>Unit</t>
  </si>
  <si>
    <t>electricityCostPerKWH</t>
  </si>
  <si>
    <t>USD/kWh</t>
  </si>
  <si>
    <t>ELECTRICITY UTILITY 계산할 때 사용</t>
  </si>
  <si>
    <t>NGprice</t>
  </si>
  <si>
    <t>Fired heater Natural gas price</t>
  </si>
  <si>
    <t>CoolingWaterPrice</t>
  </si>
  <si>
    <t>USD/kg</t>
  </si>
  <si>
    <t>Cooling utility 계산할 때 사용</t>
  </si>
  <si>
    <t/>
  </si>
  <si>
    <t>calcOPEXdata</t>
  </si>
  <si>
    <t>catalystPrice</t>
  </si>
  <si>
    <t>USD/ton</t>
  </si>
  <si>
    <t>hours/year</t>
  </si>
  <si>
    <t>profitAnalysisData</t>
  </si>
  <si>
    <t>depreciationLifetime</t>
  </si>
  <si>
    <t>years</t>
  </si>
  <si>
    <t xml:space="preserve">Meterial Cost를 위한 엑셀 페이지입니다.
InputFlow는 원재료 가격 계산을 위한 부분으로
Flow이름과 톤당 가격을 달러로 입력해주세요
Output Flow는 최종 생성물이 나가는 Flow입니다.
</t>
    <phoneticPr fontId="8" type="noConversion"/>
  </si>
  <si>
    <t>계산되는 장치비 중 제외하고싶은 
장치의 가격을 나타냅니다.</t>
    <phoneticPr fontId="8" type="noConversion"/>
  </si>
  <si>
    <t>Reactor Name</t>
    <phoneticPr fontId="8" type="noConversion"/>
  </si>
  <si>
    <t>CEPCI(June 2024)</t>
  </si>
  <si>
    <t>Equipment cost[$]</t>
    <phoneticPr fontId="16" type="noConversion"/>
  </si>
  <si>
    <t>CEPCI</t>
    <phoneticPr fontId="16" type="noConversion"/>
  </si>
  <si>
    <t>Capacity</t>
    <phoneticPr fontId="8" type="noConversion"/>
  </si>
  <si>
    <t>TREATER</t>
    <phoneticPr fontId="8" type="noConversion"/>
  </si>
  <si>
    <t>Capacity_Reference [kW] [ton/d] [ton/y]</t>
    <phoneticPr fontId="16" type="noConversion"/>
  </si>
  <si>
    <t>scaling factor</t>
    <phoneticPr fontId="8" type="noConversion"/>
  </si>
  <si>
    <t>FURCOOL</t>
    <phoneticPr fontId="8" type="noConversion"/>
  </si>
  <si>
    <t>FURCOOL1</t>
    <phoneticPr fontId="8" type="noConversion"/>
  </si>
  <si>
    <t>FURCOOL2</t>
    <phoneticPr fontId="8" type="noConversion"/>
  </si>
  <si>
    <t>HX1XT</t>
  </si>
  <si>
    <t>HX1CL</t>
  </si>
  <si>
    <t>HX1HT</t>
  </si>
  <si>
    <t>Additional param</t>
    <phoneticPr fontId="8" type="noConversion"/>
  </si>
  <si>
    <t>plantOperationHours</t>
    <phoneticPr fontId="8" type="noConversion"/>
  </si>
  <si>
    <t>FURCOOL1</t>
  </si>
  <si>
    <t>WWSEP2</t>
  </si>
  <si>
    <t>OLIGOREA</t>
    <phoneticPr fontId="8" type="noConversion"/>
  </si>
  <si>
    <t>PSA</t>
    <phoneticPr fontId="8" type="noConversion"/>
  </si>
  <si>
    <t>capacity Parameter</t>
    <phoneticPr fontId="8" type="noConversion"/>
  </si>
  <si>
    <t>TRPUMP</t>
    <phoneticPr fontId="8" type="noConversion"/>
  </si>
  <si>
    <t>MPSG</t>
    <phoneticPr fontId="8" type="noConversion"/>
  </si>
  <si>
    <t>USD/KG</t>
    <phoneticPr fontId="8" type="noConversion"/>
  </si>
  <si>
    <t>StreamPrice(MPS)</t>
    <phoneticPr fontId="8" type="noConversion"/>
  </si>
  <si>
    <t>EXTRAH2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</si>
</sst>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000_);_(* \(#,##0.00000\);_(* &quot;-&quot;_);_(@_)"/>
    <numFmt numFmtId="179" formatCode="0.0_);[Red]\(0.0\)"/>
  </numFmts>
  <fonts count="20">
    <font>
      <sz val="11"/>
      <color rgb="FF000000"/>
      <name val="나눔스퀘어"/>
    </font>
    <font>
      <sz val="11"/>
      <color theme="10"/>
      <name val="나눔스퀘어"/>
      <family val="3"/>
      <charset val="129"/>
    </font>
    <font>
      <sz val="11"/>
      <color theme="11"/>
      <name val="나눔스퀘어"/>
      <family val="3"/>
      <charset val="129"/>
    </font>
    <font>
      <sz val="9"/>
      <color rgb="FF000000"/>
      <name val="Menlo"/>
      <family val="2"/>
    </font>
    <font>
      <b/>
      <sz val="11"/>
      <color rgb="FF000000"/>
      <name val="Menlo"/>
      <family val="2"/>
    </font>
    <font>
      <b/>
      <sz val="11"/>
      <color theme="1"/>
      <name val="Menlo"/>
      <family val="2"/>
    </font>
    <font>
      <b/>
      <sz val="11"/>
      <color rgb="FF000000"/>
      <name val="나눔스퀘어"/>
      <family val="3"/>
      <charset val="129"/>
    </font>
    <font>
      <sz val="9"/>
      <color rgb="FF6A9955"/>
      <name val="Menlo"/>
      <family val="2"/>
    </font>
    <font>
      <sz val="8"/>
      <name val="굴림"/>
      <family val="2"/>
      <charset val="129"/>
    </font>
    <font>
      <sz val="18"/>
      <color rgb="FF000000"/>
      <name val="나눔스퀘어"/>
      <family val="3"/>
      <charset val="129"/>
    </font>
    <font>
      <sz val="20"/>
      <color rgb="FF000000"/>
      <name val="나눔스퀘어"/>
      <family val="3"/>
      <charset val="129"/>
    </font>
    <font>
      <b/>
      <sz val="16"/>
      <color rgb="FF000000"/>
      <name val="나눔스퀘어"/>
      <family val="3"/>
      <charset val="129"/>
    </font>
    <font>
      <sz val="11"/>
      <color rgb="FF000000"/>
      <name val="나눔스퀘어_ac"/>
      <family val="3"/>
      <charset val="129"/>
    </font>
    <font>
      <b/>
      <sz val="11"/>
      <color rgb="FF000000"/>
      <name val="나눔스퀘어_ac"/>
      <family val="3"/>
      <charset val="129"/>
    </font>
    <font>
      <b/>
      <sz val="14"/>
      <color rgb="FF000000"/>
      <name val="나눔스퀘어_ac"/>
      <family val="3"/>
      <charset val="129"/>
    </font>
    <font>
      <sz val="11"/>
      <color theme="1"/>
      <name val="나눔스퀘어_ac"/>
      <family val="3"/>
      <charset val="129"/>
    </font>
    <font>
      <sz val="8"/>
      <name val="Helvetica Neue"/>
      <family val="2"/>
      <charset val="129"/>
      <scheme val="minor"/>
    </font>
    <font>
      <sz val="11"/>
      <color rgb="FF000000"/>
      <name val="나눔스퀘어"/>
      <family val="3"/>
      <charset val="129"/>
    </font>
    <font>
      <b/>
      <sz val="11"/>
      <color theme="1"/>
      <name val="나눔스퀘어_ac"/>
      <family val="3"/>
      <charset val="129"/>
    </font>
    <font>
      <b/>
      <sz val="11"/>
      <color theme="1"/>
      <name val="나눔스퀘어_a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</cellStyleXfs>
  <cellXfs count="32"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11" fillId="0" borderId="0" xfId="0" applyFont="1" applyAlignment="1"/>
    <xf numFmtId="0" fontId="12" fillId="0" borderId="1" xfId="0" applyFont="1" applyBorder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/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177" fontId="15" fillId="0" borderId="1" xfId="3" applyNumberFormat="1" applyFont="1" applyBorder="1" applyAlignment="1">
      <alignment horizontal="right" vertical="center"/>
    </xf>
    <xf numFmtId="177" fontId="18" fillId="0" borderId="1" xfId="3" applyNumberFormat="1" applyFont="1" applyBorder="1" applyAlignment="1">
      <alignment horizontal="right" vertical="center"/>
    </xf>
    <xf numFmtId="0" fontId="15" fillId="0" borderId="1" xfId="0" applyFont="1" applyBorder="1">
      <alignment vertical="center"/>
    </xf>
    <xf numFmtId="177" fontId="13" fillId="0" borderId="1" xfId="0" applyNumberFormat="1" applyFont="1" applyBorder="1" applyAlignment="1">
      <alignment horizontal="right" vertical="center"/>
    </xf>
    <xf numFmtId="38" fontId="15" fillId="0" borderId="0" xfId="0" applyNumberFormat="1" applyFont="1">
      <alignment vertical="center"/>
    </xf>
    <xf numFmtId="0" fontId="15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0" fillId="0" borderId="3" xfId="0" applyBorder="1" applyAlignment="1"/>
    <xf numFmtId="0" fontId="15" fillId="0" borderId="0" xfId="0" applyFont="1">
      <alignment vertical="center"/>
    </xf>
    <xf numFmtId="0" fontId="0" fillId="0" borderId="1" xfId="0" applyBorder="1">
      <alignment vertical="center"/>
    </xf>
    <xf numFmtId="0" fontId="0" fillId="0" borderId="4" xfId="0" applyBorder="1" applyAlignment="1"/>
    <xf numFmtId="178" fontId="15" fillId="4" borderId="5" xfId="4" applyNumberFormat="1" applyFont="1" applyFill="1" applyBorder="1">
      <alignment vertical="center"/>
    </xf>
    <xf numFmtId="179" fontId="15" fillId="0" borderId="5" xfId="0" applyNumberFormat="1" applyFont="1" applyBorder="1">
      <alignment vertical="center"/>
    </xf>
    <xf numFmtId="0" fontId="15" fillId="0" borderId="5" xfId="0" applyFont="1" applyBorder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/>
  </cellXfs>
  <cellStyles count="5">
    <cellStyle name="쉼표 [0]" xfId="4" builtinId="6"/>
    <cellStyle name="열어 본 하이퍼링크" xfId="2" builtinId="9" hidden="1"/>
    <cellStyle name="통화 [0]" xfId="3" builtinId="7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2"/>
  <sheetViews>
    <sheetView zoomScale="168" workbookViewId="0">
      <selection activeCell="C6" sqref="C6"/>
    </sheetView>
  </sheetViews>
  <sheetFormatPr defaultColWidth="8.77734375" defaultRowHeight="15"/>
  <cols>
    <col min="2" max="2" width="16" customWidth="1"/>
    <col min="3" max="3" width="17" customWidth="1"/>
    <col min="4" max="4" width="16.44140625" customWidth="1"/>
    <col min="5" max="5" width="17.6640625" customWidth="1"/>
  </cols>
  <sheetData>
    <row r="2" spans="2:13" ht="14.1" customHeight="1">
      <c r="B2" t="s">
        <v>0</v>
      </c>
      <c r="C2" t="s">
        <v>1</v>
      </c>
      <c r="E2" t="s">
        <v>2</v>
      </c>
      <c r="G2" s="28" t="s">
        <v>44</v>
      </c>
      <c r="H2" s="28"/>
      <c r="I2" s="28"/>
      <c r="J2" s="28"/>
      <c r="K2" s="28"/>
      <c r="L2" s="28"/>
      <c r="M2" s="28"/>
    </row>
    <row r="3" spans="2:13">
      <c r="B3" t="s">
        <v>3</v>
      </c>
      <c r="C3">
        <f>0.05*1000</f>
        <v>50</v>
      </c>
      <c r="E3" t="s">
        <v>4</v>
      </c>
      <c r="G3" s="28"/>
      <c r="H3" s="28"/>
      <c r="I3" s="28"/>
      <c r="J3" s="28"/>
      <c r="K3" s="28"/>
      <c r="L3" s="28"/>
      <c r="M3" s="28"/>
    </row>
    <row r="4" spans="2:13">
      <c r="B4" t="s">
        <v>5</v>
      </c>
      <c r="C4">
        <v>4750</v>
      </c>
      <c r="G4" s="28"/>
      <c r="H4" s="28"/>
      <c r="I4" s="28"/>
      <c r="J4" s="28"/>
      <c r="K4" s="28"/>
      <c r="L4" s="28"/>
      <c r="M4" s="28"/>
    </row>
    <row r="5" spans="2:13">
      <c r="B5" s="24" t="s">
        <v>71</v>
      </c>
      <c r="C5">
        <v>4750</v>
      </c>
      <c r="G5" s="28"/>
      <c r="H5" s="28"/>
      <c r="I5" s="28"/>
      <c r="J5" s="28"/>
      <c r="K5" s="28"/>
      <c r="L5" s="28"/>
      <c r="M5" s="28"/>
    </row>
    <row r="6" spans="2:13">
      <c r="G6" s="28"/>
      <c r="H6" s="28"/>
      <c r="I6" s="28"/>
      <c r="J6" s="28"/>
      <c r="K6" s="28"/>
      <c r="L6" s="28"/>
      <c r="M6" s="28"/>
    </row>
    <row r="7" spans="2:13">
      <c r="G7" s="28"/>
      <c r="H7" s="28"/>
      <c r="I7" s="28"/>
      <c r="J7" s="28"/>
      <c r="K7" s="28"/>
      <c r="L7" s="28"/>
      <c r="M7" s="28"/>
    </row>
    <row r="8" spans="2:13">
      <c r="G8" s="28"/>
      <c r="H8" s="28"/>
      <c r="I8" s="28"/>
      <c r="J8" s="28"/>
      <c r="K8" s="28"/>
      <c r="L8" s="28"/>
      <c r="M8" s="28"/>
    </row>
    <row r="9" spans="2:13" ht="14.1" customHeight="1">
      <c r="G9" s="28"/>
      <c r="H9" s="28"/>
      <c r="I9" s="28"/>
      <c r="J9" s="28"/>
      <c r="K9" s="28"/>
      <c r="L9" s="28"/>
      <c r="M9" s="28"/>
    </row>
    <row r="10" spans="2:13">
      <c r="G10" s="28"/>
      <c r="H10" s="28"/>
      <c r="I10" s="28"/>
      <c r="J10" s="28"/>
      <c r="K10" s="28"/>
      <c r="L10" s="28"/>
      <c r="M10" s="28"/>
    </row>
    <row r="11" spans="2:13">
      <c r="G11" s="28"/>
      <c r="H11" s="28"/>
      <c r="I11" s="28"/>
      <c r="J11" s="28"/>
      <c r="K11" s="28"/>
      <c r="L11" s="28"/>
      <c r="M11" s="28"/>
    </row>
    <row r="12" spans="2:13">
      <c r="G12" s="28"/>
      <c r="H12" s="28"/>
      <c r="I12" s="28"/>
      <c r="J12" s="28"/>
      <c r="K12" s="28"/>
      <c r="L12" s="28"/>
      <c r="M12" s="28"/>
    </row>
    <row r="13" spans="2:13">
      <c r="G13" s="28"/>
      <c r="H13" s="28"/>
      <c r="I13" s="28"/>
      <c r="J13" s="28"/>
      <c r="K13" s="28"/>
      <c r="L13" s="28"/>
      <c r="M13" s="28"/>
    </row>
    <row r="14" spans="2:13">
      <c r="G14" s="28"/>
      <c r="H14" s="28"/>
      <c r="I14" s="28"/>
      <c r="J14" s="28"/>
      <c r="K14" s="28"/>
      <c r="L14" s="28"/>
      <c r="M14" s="28"/>
    </row>
    <row r="15" spans="2:13">
      <c r="G15" s="28"/>
      <c r="H15" s="28"/>
      <c r="I15" s="28"/>
      <c r="J15" s="28"/>
      <c r="K15" s="28"/>
      <c r="L15" s="28"/>
      <c r="M15" s="28"/>
    </row>
    <row r="16" spans="2:13" ht="14.1" customHeight="1">
      <c r="G16" s="28"/>
      <c r="H16" s="28"/>
      <c r="I16" s="28"/>
      <c r="J16" s="28"/>
      <c r="K16" s="28"/>
      <c r="L16" s="28"/>
      <c r="M16" s="28"/>
    </row>
    <row r="17" spans="7:13">
      <c r="G17" s="28"/>
      <c r="H17" s="28"/>
      <c r="I17" s="28"/>
      <c r="J17" s="28"/>
      <c r="K17" s="28"/>
      <c r="L17" s="28"/>
      <c r="M17" s="28"/>
    </row>
    <row r="18" spans="7:13">
      <c r="G18" s="28"/>
      <c r="H18" s="28"/>
      <c r="I18" s="28"/>
      <c r="J18" s="28"/>
      <c r="K18" s="28"/>
      <c r="L18" s="28"/>
      <c r="M18" s="28"/>
    </row>
    <row r="19" spans="7:13">
      <c r="G19" s="28"/>
      <c r="H19" s="28"/>
      <c r="I19" s="28"/>
      <c r="J19" s="28"/>
      <c r="K19" s="28"/>
      <c r="L19" s="28"/>
      <c r="M19" s="28"/>
    </row>
    <row r="20" spans="7:13">
      <c r="G20" s="28"/>
      <c r="H20" s="28"/>
      <c r="I20" s="28"/>
      <c r="J20" s="28"/>
      <c r="K20" s="28"/>
      <c r="L20" s="28"/>
      <c r="M20" s="28"/>
    </row>
    <row r="21" spans="7:13">
      <c r="G21" s="28"/>
      <c r="H21" s="28"/>
      <c r="I21" s="28"/>
      <c r="J21" s="28"/>
      <c r="K21" s="28"/>
      <c r="L21" s="28"/>
      <c r="M21" s="28"/>
    </row>
    <row r="22" spans="7:13">
      <c r="G22" s="28"/>
      <c r="H22" s="28"/>
      <c r="I22" s="28"/>
      <c r="J22" s="28"/>
      <c r="K22" s="28"/>
      <c r="L22" s="28"/>
      <c r="M22" s="28"/>
    </row>
  </sheetData>
  <mergeCells count="1">
    <mergeCell ref="G2:M22"/>
  </mergeCells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17"/>
  <sheetViews>
    <sheetView zoomScale="114" workbookViewId="0">
      <selection activeCell="I25" sqref="I25"/>
    </sheetView>
  </sheetViews>
  <sheetFormatPr defaultColWidth="8.77734375" defaultRowHeight="15"/>
  <cols>
    <col min="2" max="2" width="19.33203125" customWidth="1"/>
    <col min="4" max="4" width="23.77734375" customWidth="1"/>
    <col min="6" max="6" width="26.77734375" customWidth="1"/>
  </cols>
  <sheetData>
    <row r="2" spans="2:22" ht="14.1" customHeight="1">
      <c r="B2" t="s">
        <v>6</v>
      </c>
      <c r="D2" t="s">
        <v>7</v>
      </c>
      <c r="O2" s="29" t="s">
        <v>45</v>
      </c>
      <c r="P2" s="29"/>
      <c r="Q2" s="29"/>
      <c r="R2" s="29"/>
      <c r="S2" s="29"/>
      <c r="T2" s="29"/>
      <c r="U2" s="29"/>
      <c r="V2" s="29"/>
    </row>
    <row r="3" spans="2:22" ht="14.1" customHeight="1">
      <c r="B3" t="s">
        <v>62</v>
      </c>
      <c r="D3" t="s">
        <v>54</v>
      </c>
      <c r="O3" s="29"/>
      <c r="P3" s="29"/>
      <c r="Q3" s="29"/>
      <c r="R3" s="29"/>
      <c r="S3" s="29"/>
      <c r="T3" s="29"/>
      <c r="U3" s="29"/>
      <c r="V3" s="29"/>
    </row>
    <row r="4" spans="2:22" ht="14.1" customHeight="1">
      <c r="B4" t="s">
        <v>56</v>
      </c>
      <c r="D4" t="s">
        <v>55</v>
      </c>
      <c r="O4" s="29"/>
      <c r="P4" s="29"/>
      <c r="Q4" s="29"/>
      <c r="R4" s="29"/>
      <c r="S4" s="29"/>
      <c r="T4" s="29"/>
      <c r="U4" s="29"/>
      <c r="V4" s="29"/>
    </row>
    <row r="5" spans="2:22" ht="14.1" customHeight="1">
      <c r="B5" t="s">
        <v>59</v>
      </c>
      <c r="D5" t="s">
        <v>56</v>
      </c>
      <c r="O5" s="29"/>
      <c r="P5" s="29"/>
      <c r="Q5" s="29"/>
      <c r="R5" s="29"/>
      <c r="S5" s="29"/>
      <c r="T5" s="29"/>
      <c r="U5" s="29"/>
      <c r="V5" s="29"/>
    </row>
    <row r="6" spans="2:22" ht="14.1" customHeight="1">
      <c r="B6" s="22" t="s">
        <v>58</v>
      </c>
      <c r="D6" t="s">
        <v>57</v>
      </c>
      <c r="O6" s="29"/>
      <c r="P6" s="29"/>
      <c r="Q6" s="29"/>
      <c r="R6" s="29"/>
      <c r="S6" s="29"/>
      <c r="T6" s="29"/>
      <c r="U6" s="29"/>
      <c r="V6" s="29"/>
    </row>
    <row r="7" spans="2:22" ht="14.1" customHeight="1">
      <c r="B7" s="22" t="s">
        <v>63</v>
      </c>
      <c r="D7" t="s">
        <v>58</v>
      </c>
      <c r="O7" s="29"/>
      <c r="P7" s="29"/>
      <c r="Q7" s="29"/>
      <c r="R7" s="29"/>
      <c r="S7" s="29"/>
      <c r="T7" s="29"/>
      <c r="U7" s="29"/>
      <c r="V7" s="29"/>
    </row>
    <row r="8" spans="2:22" ht="14.1" customHeight="1">
      <c r="B8" t="s">
        <v>65</v>
      </c>
      <c r="D8" s="18" t="s">
        <v>59</v>
      </c>
      <c r="O8" s="29"/>
      <c r="P8" s="29"/>
      <c r="Q8" s="29"/>
      <c r="R8" s="29"/>
      <c r="S8" s="29"/>
      <c r="T8" s="29"/>
      <c r="U8" s="29"/>
      <c r="V8" s="29"/>
    </row>
    <row r="9" spans="2:22" ht="14.1" customHeight="1">
      <c r="B9" t="s">
        <v>67</v>
      </c>
      <c r="D9" t="s">
        <v>65</v>
      </c>
      <c r="O9" s="29"/>
      <c r="P9" s="29"/>
      <c r="Q9" s="29"/>
      <c r="R9" s="29"/>
      <c r="S9" s="29"/>
      <c r="T9" s="29"/>
      <c r="U9" s="29"/>
      <c r="V9" s="29"/>
    </row>
    <row r="10" spans="2:22" ht="14.1" customHeight="1">
      <c r="O10" s="29"/>
      <c r="P10" s="29"/>
      <c r="Q10" s="29"/>
      <c r="R10" s="29"/>
      <c r="S10" s="29"/>
      <c r="T10" s="29"/>
      <c r="U10" s="29"/>
      <c r="V10" s="29"/>
    </row>
    <row r="11" spans="2:22" ht="14.1" customHeight="1">
      <c r="O11" s="29"/>
      <c r="P11" s="29"/>
      <c r="Q11" s="29"/>
      <c r="R11" s="29"/>
      <c r="S11" s="29"/>
      <c r="T11" s="29"/>
      <c r="U11" s="29"/>
      <c r="V11" s="29"/>
    </row>
    <row r="12" spans="2:22" ht="14.1" customHeight="1">
      <c r="O12" s="29"/>
      <c r="P12" s="29"/>
      <c r="Q12" s="29"/>
      <c r="R12" s="29"/>
      <c r="S12" s="29"/>
      <c r="T12" s="29"/>
      <c r="U12" s="29"/>
      <c r="V12" s="29"/>
    </row>
    <row r="13" spans="2:22" ht="14.1" customHeight="1">
      <c r="O13" s="29"/>
      <c r="P13" s="29"/>
      <c r="Q13" s="29"/>
      <c r="R13" s="29"/>
      <c r="S13" s="29"/>
      <c r="T13" s="29"/>
      <c r="U13" s="29"/>
      <c r="V13" s="29"/>
    </row>
    <row r="14" spans="2:22" ht="14.1" customHeight="1">
      <c r="O14" s="29"/>
      <c r="P14" s="29"/>
      <c r="Q14" s="29"/>
      <c r="R14" s="29"/>
      <c r="S14" s="29"/>
      <c r="T14" s="29"/>
      <c r="U14" s="29"/>
      <c r="V14" s="29"/>
    </row>
    <row r="15" spans="2:22" ht="14.1" customHeight="1">
      <c r="O15" s="29"/>
      <c r="P15" s="29"/>
      <c r="Q15" s="29"/>
      <c r="R15" s="29"/>
      <c r="S15" s="29"/>
      <c r="T15" s="29"/>
      <c r="U15" s="29"/>
      <c r="V15" s="29"/>
    </row>
    <row r="16" spans="2:22" ht="14.1" customHeight="1">
      <c r="O16" s="29"/>
      <c r="P16" s="29"/>
      <c r="Q16" s="29"/>
      <c r="R16" s="29"/>
      <c r="S16" s="29"/>
      <c r="T16" s="29"/>
      <c r="U16" s="29"/>
      <c r="V16" s="29"/>
    </row>
    <row r="17" spans="15:22" ht="14.1" customHeight="1">
      <c r="O17" s="29"/>
      <c r="P17" s="29"/>
      <c r="Q17" s="29"/>
      <c r="R17" s="29"/>
      <c r="S17" s="29"/>
      <c r="T17" s="29"/>
      <c r="U17" s="29"/>
      <c r="V17" s="29"/>
    </row>
  </sheetData>
  <mergeCells count="1">
    <mergeCell ref="O2:V17"/>
  </mergeCells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8"/>
  <sheetViews>
    <sheetView workbookViewId="0">
      <selection activeCell="G44" sqref="G44"/>
    </sheetView>
  </sheetViews>
  <sheetFormatPr defaultColWidth="8.77734375" defaultRowHeight="15"/>
  <cols>
    <col min="2" max="2" width="35.33203125" customWidth="1"/>
    <col min="3" max="3" width="11.33203125" customWidth="1"/>
    <col min="4" max="4" width="11.77734375" customWidth="1"/>
    <col min="5" max="5" width="10.6640625" customWidth="1"/>
    <col min="7" max="7" width="22.109375" customWidth="1"/>
    <col min="11" max="11" width="74.77734375" customWidth="1"/>
  </cols>
  <sheetData>
    <row r="2" spans="2:11">
      <c r="B2" s="3" t="s">
        <v>10</v>
      </c>
      <c r="C2" s="4" t="s">
        <v>11</v>
      </c>
      <c r="D2" s="4" t="s">
        <v>12</v>
      </c>
      <c r="E2" s="4" t="s">
        <v>13</v>
      </c>
      <c r="G2" s="4" t="s">
        <v>66</v>
      </c>
      <c r="H2" s="30"/>
      <c r="I2" s="31"/>
      <c r="J2" s="31"/>
      <c r="K2" s="31"/>
    </row>
    <row r="3" spans="2:11">
      <c r="B3" s="1" t="s">
        <v>14</v>
      </c>
      <c r="C3">
        <v>2.2627999999999999</v>
      </c>
      <c r="D3">
        <v>0.85809999999999997</v>
      </c>
      <c r="E3">
        <v>2.9999999999999997E-4</v>
      </c>
      <c r="G3">
        <v>0.7</v>
      </c>
      <c r="H3" s="31"/>
      <c r="I3" s="31"/>
      <c r="J3" s="31"/>
      <c r="K3" s="31"/>
    </row>
    <row r="4" spans="2:11">
      <c r="B4" s="1" t="s">
        <v>15</v>
      </c>
      <c r="C4">
        <v>1.1979</v>
      </c>
      <c r="D4">
        <v>1.4782</v>
      </c>
      <c r="E4">
        <v>-9.5799999999999996E-2</v>
      </c>
      <c r="H4" s="31"/>
      <c r="I4" s="31"/>
      <c r="J4" s="31"/>
      <c r="K4" s="31"/>
    </row>
    <row r="5" spans="2:11">
      <c r="B5" s="1" t="s">
        <v>16</v>
      </c>
      <c r="C5">
        <v>2.0829</v>
      </c>
      <c r="D5">
        <v>0.90739999999999998</v>
      </c>
      <c r="E5">
        <v>-2.4299999999999999E-2</v>
      </c>
      <c r="H5" s="31"/>
      <c r="I5" s="31"/>
      <c r="J5" s="31"/>
      <c r="K5" s="31"/>
    </row>
    <row r="6" spans="2:11">
      <c r="B6" s="1" t="s">
        <v>17</v>
      </c>
      <c r="C6">
        <v>6.9617000000000004</v>
      </c>
      <c r="D6">
        <v>-1.48</v>
      </c>
      <c r="E6">
        <v>0.31609999999999999</v>
      </c>
      <c r="H6" s="31"/>
      <c r="I6" s="31"/>
      <c r="J6" s="31"/>
      <c r="K6" s="31"/>
    </row>
    <row r="7" spans="2:11">
      <c r="H7" s="31"/>
      <c r="I7" s="31"/>
      <c r="J7" s="31"/>
      <c r="K7" s="31"/>
    </row>
    <row r="8" spans="2:11">
      <c r="H8" s="31"/>
      <c r="I8" s="31"/>
      <c r="J8" s="31"/>
      <c r="K8" s="31"/>
    </row>
    <row r="9" spans="2:11">
      <c r="B9" s="2" t="s">
        <v>18</v>
      </c>
      <c r="C9" s="4" t="s">
        <v>11</v>
      </c>
      <c r="D9" s="4" t="s">
        <v>12</v>
      </c>
      <c r="E9" s="4" t="s">
        <v>13</v>
      </c>
    </row>
    <row r="10" spans="2:11">
      <c r="B10" s="1" t="s">
        <v>19</v>
      </c>
      <c r="C10">
        <v>4.3247</v>
      </c>
      <c r="D10">
        <v>-0.30299999999999999</v>
      </c>
      <c r="E10">
        <v>0.16339999999999999</v>
      </c>
    </row>
    <row r="11" spans="2:11">
      <c r="B11" s="1" t="s">
        <v>20</v>
      </c>
      <c r="C11">
        <v>4.8305999999999996</v>
      </c>
      <c r="D11">
        <v>-0.85089999999999999</v>
      </c>
      <c r="E11">
        <v>0.31869999999999998</v>
      </c>
    </row>
    <row r="12" spans="2:11">
      <c r="B12" s="1" t="s">
        <v>21</v>
      </c>
      <c r="C12">
        <v>4.1883999999999997</v>
      </c>
      <c r="D12">
        <v>-0.25030000000000002</v>
      </c>
      <c r="E12">
        <v>0.19739999999999999</v>
      </c>
    </row>
    <row r="13" spans="2:11">
      <c r="B13" s="1" t="s">
        <v>22</v>
      </c>
      <c r="C13">
        <v>4.2767999999999997</v>
      </c>
      <c r="D13">
        <v>-4.9500000000000002E-2</v>
      </c>
      <c r="E13">
        <v>0.1431</v>
      </c>
    </row>
    <row r="16" spans="2:11">
      <c r="B16" s="2" t="s">
        <v>23</v>
      </c>
      <c r="C16" s="4" t="s">
        <v>11</v>
      </c>
      <c r="D16" s="4" t="s">
        <v>12</v>
      </c>
      <c r="E16" s="4" t="s">
        <v>13</v>
      </c>
    </row>
    <row r="17" spans="2:5">
      <c r="B17" s="1" t="s">
        <v>24</v>
      </c>
      <c r="C17">
        <v>2.2896999999999998</v>
      </c>
      <c r="D17">
        <v>1.3604000000000001</v>
      </c>
      <c r="E17">
        <v>-0.1027</v>
      </c>
    </row>
    <row r="18" spans="2:5">
      <c r="B18" s="1" t="s">
        <v>25</v>
      </c>
      <c r="C18">
        <v>5.0354999999999999</v>
      </c>
      <c r="D18">
        <v>-1.8002</v>
      </c>
      <c r="E18">
        <v>0.82530000000000003</v>
      </c>
    </row>
  </sheetData>
  <mergeCells count="1">
    <mergeCell ref="H2:K8"/>
  </mergeCells>
  <phoneticPr fontId="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H14"/>
  <sheetViews>
    <sheetView zoomScale="158" workbookViewId="0">
      <selection activeCell="C10" sqref="C10"/>
    </sheetView>
  </sheetViews>
  <sheetFormatPr defaultColWidth="8.77734375" defaultRowHeight="15"/>
  <cols>
    <col min="2" max="2" width="33.77734375" customWidth="1"/>
    <col min="3" max="3" width="16.109375" customWidth="1"/>
    <col min="4" max="4" width="13.77734375" customWidth="1"/>
    <col min="5" max="5" width="31.109375" customWidth="1"/>
  </cols>
  <sheetData>
    <row r="2" spans="2:34">
      <c r="B2" s="2" t="s">
        <v>26</v>
      </c>
      <c r="D2" t="s">
        <v>27</v>
      </c>
    </row>
    <row r="3" spans="2:34">
      <c r="B3" s="1" t="s">
        <v>28</v>
      </c>
      <c r="C3" s="26">
        <v>0.108</v>
      </c>
      <c r="D3" s="1" t="s">
        <v>29</v>
      </c>
      <c r="E3" s="5" t="s">
        <v>30</v>
      </c>
    </row>
    <row r="4" spans="2:34">
      <c r="B4" s="1" t="s">
        <v>31</v>
      </c>
      <c r="C4" s="27">
        <v>1.0500000000000001E-2</v>
      </c>
      <c r="D4" s="1" t="s">
        <v>29</v>
      </c>
      <c r="E4" s="5" t="s">
        <v>32</v>
      </c>
    </row>
    <row r="5" spans="2:34">
      <c r="B5" s="1" t="s">
        <v>33</v>
      </c>
      <c r="C5" s="25">
        <v>7.7999999999999999E-5</v>
      </c>
      <c r="D5" s="1" t="s">
        <v>34</v>
      </c>
      <c r="E5" s="5" t="s">
        <v>35</v>
      </c>
      <c r="F5" t="s">
        <v>36</v>
      </c>
    </row>
    <row r="6" spans="2:34">
      <c r="B6" t="s">
        <v>70</v>
      </c>
      <c r="C6" s="26">
        <v>5.5E-2</v>
      </c>
      <c r="D6" t="s">
        <v>34</v>
      </c>
      <c r="AH6" t="s">
        <v>36</v>
      </c>
    </row>
    <row r="7" spans="2:34">
      <c r="B7" s="1" t="s">
        <v>68</v>
      </c>
      <c r="C7" s="26">
        <v>5.5E-2</v>
      </c>
      <c r="D7" s="1" t="s">
        <v>69</v>
      </c>
    </row>
    <row r="8" spans="2:34">
      <c r="B8" s="2" t="s">
        <v>37</v>
      </c>
    </row>
    <row r="9" spans="2:34">
      <c r="B9" t="s">
        <v>38</v>
      </c>
      <c r="C9">
        <v>1</v>
      </c>
      <c r="D9" s="1" t="s">
        <v>39</v>
      </c>
    </row>
    <row r="10" spans="2:34">
      <c r="B10" t="s">
        <v>61</v>
      </c>
      <c r="C10">
        <v>8766</v>
      </c>
      <c r="D10" s="1" t="s">
        <v>40</v>
      </c>
    </row>
    <row r="13" spans="2:34">
      <c r="B13" s="2" t="s">
        <v>41</v>
      </c>
    </row>
    <row r="14" spans="2:34">
      <c r="B14" t="s">
        <v>42</v>
      </c>
      <c r="C14">
        <v>30</v>
      </c>
      <c r="D14" s="1" t="s">
        <v>43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8480-AB41-8245-A344-B60BAB2CCC12}">
  <dimension ref="B2:J6"/>
  <sheetViews>
    <sheetView tabSelected="1" zoomScale="135" workbookViewId="0">
      <selection activeCell="L13" sqref="L13"/>
    </sheetView>
  </sheetViews>
  <sheetFormatPr defaultColWidth="11.5546875" defaultRowHeight="15"/>
  <cols>
    <col min="2" max="2" width="46.44140625" customWidth="1"/>
    <col min="3" max="3" width="42.6640625" hidden="1" customWidth="1"/>
    <col min="4" max="4" width="20.6640625" hidden="1" customWidth="1"/>
    <col min="5" max="5" width="25.33203125" hidden="1" customWidth="1"/>
    <col min="6" max="6" width="16" hidden="1" customWidth="1"/>
    <col min="7" max="7" width="21" customWidth="1"/>
    <col min="8" max="8" width="31.44140625" customWidth="1"/>
    <col min="9" max="9" width="19.109375" hidden="1" customWidth="1"/>
    <col min="10" max="10" width="0" hidden="1" customWidth="1"/>
  </cols>
  <sheetData>
    <row r="2" spans="2:10" ht="20.25">
      <c r="B2" s="6" t="s">
        <v>46</v>
      </c>
      <c r="C2" s="12" t="s">
        <v>52</v>
      </c>
      <c r="D2" s="12" t="s">
        <v>48</v>
      </c>
      <c r="E2" s="12" t="s">
        <v>49</v>
      </c>
      <c r="F2" s="11" t="s">
        <v>53</v>
      </c>
      <c r="G2" s="10" t="s">
        <v>50</v>
      </c>
      <c r="H2" s="20" t="s">
        <v>60</v>
      </c>
    </row>
    <row r="3" spans="2:10">
      <c r="B3" t="s">
        <v>8</v>
      </c>
      <c r="C3" s="13">
        <v>188900</v>
      </c>
      <c r="D3" s="13">
        <v>6790000</v>
      </c>
      <c r="E3" s="13">
        <v>556.79999999999995</v>
      </c>
      <c r="F3" s="7">
        <v>0.6</v>
      </c>
      <c r="G3" s="13">
        <v>1244851</v>
      </c>
      <c r="H3" s="19">
        <v>1</v>
      </c>
      <c r="I3" s="8" t="s">
        <v>47</v>
      </c>
      <c r="J3" s="9">
        <v>798.8</v>
      </c>
    </row>
    <row r="4" spans="2:10">
      <c r="B4" t="s">
        <v>64</v>
      </c>
      <c r="C4" s="23">
        <v>320</v>
      </c>
      <c r="D4" s="14">
        <v>1680000</v>
      </c>
      <c r="E4" s="13">
        <v>585.70000000000005</v>
      </c>
      <c r="F4" s="16">
        <v>0.65</v>
      </c>
      <c r="G4" s="15">
        <v>567</v>
      </c>
      <c r="H4">
        <v>1.1599999999999999</v>
      </c>
    </row>
    <row r="5" spans="2:10">
      <c r="B5" t="s">
        <v>51</v>
      </c>
      <c r="C5" s="13">
        <v>700000</v>
      </c>
      <c r="D5" s="14">
        <f>247800000*0.14</f>
        <v>34692000</v>
      </c>
      <c r="E5" s="13">
        <v>541.70000000000005</v>
      </c>
      <c r="F5" s="16">
        <v>0.8</v>
      </c>
      <c r="G5" s="17">
        <v>193800</v>
      </c>
      <c r="H5" s="21">
        <v>1</v>
      </c>
    </row>
    <row r="6" spans="2:10">
      <c r="B6" t="s">
        <v>9</v>
      </c>
      <c r="C6" s="13">
        <v>394</v>
      </c>
      <c r="D6" s="14">
        <f>2.85*10^6</f>
        <v>2850000</v>
      </c>
      <c r="E6" s="13">
        <v>357.6</v>
      </c>
      <c r="F6" s="16">
        <v>0.72</v>
      </c>
      <c r="G6" s="15">
        <v>62655</v>
      </c>
      <c r="H6">
        <v>1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FlowName</vt:lpstr>
      <vt:lpstr>Except Unit</vt:lpstr>
      <vt:lpstr>Equipment Cost Parameter</vt:lpstr>
      <vt:lpstr>Utility Parameter</vt:lpstr>
      <vt:lpstr>Reactor 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윤지호</cp:lastModifiedBy>
  <cp:revision>3</cp:revision>
  <dcterms:created xsi:type="dcterms:W3CDTF">2026-05-06T06:39:08Z</dcterms:created>
  <dcterms:modified xsi:type="dcterms:W3CDTF">2026-06-18T06:05:39Z</dcterms:modified>
</cp:coreProperties>
</file>